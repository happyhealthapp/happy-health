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 M1-M6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22222"/>
        <bgColor rgb="002222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2" customWidth="1" min="3" max="3"/>
  </cols>
  <sheetData>
    <row r="1">
      <c r="A1" t="inlineStr">
        <is>
          <t>HappyHealth – Financial Model – Assumptions</t>
        </is>
      </c>
      <c r="B1" t="inlineStr"/>
      <c r="C1" t="inlineStr"/>
    </row>
    <row r="2">
      <c r="A2" t="inlineStr"/>
      <c r="B2" t="inlineStr"/>
      <c r="C2" t="inlineStr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Notes</t>
        </is>
      </c>
    </row>
    <row r="4">
      <c r="A4" s="2" t="inlineStr">
        <is>
          <t>Shift Rate (per shift)</t>
        </is>
      </c>
      <c r="B4" s="2" t="n">
        <v>4500</v>
      </c>
      <c r="C4" s="2" t="inlineStr">
        <is>
          <t>Lajpal RN Rs80k-120k/mo benchmark</t>
        </is>
      </c>
    </row>
    <row r="5">
      <c r="A5" s="2" t="inlineStr">
        <is>
          <t>Days per advance</t>
        </is>
      </c>
      <c r="B5" s="2" t="n">
        <v>15</v>
      </c>
      <c r="C5" s="2" t="inlineStr"/>
    </row>
    <row r="6">
      <c r="A6" s="2" t="inlineStr">
        <is>
          <t>Advance per family</t>
        </is>
      </c>
      <c r="B6" s="2">
        <f>B4*B5</f>
        <v/>
      </c>
      <c r="C6" s="2">
        <f>4500*15 = Rs67,500</f>
        <v/>
      </c>
    </row>
    <row r="7">
      <c r="A7" s="2" t="inlineStr">
        <is>
          <t>Nurse Cost %</t>
        </is>
      </c>
      <c r="B7" s="2" t="n">
        <v>0.7</v>
      </c>
      <c r="C7" s="2" t="inlineStr">
        <is>
          <t>70% paid within 24h via JazzCash</t>
        </is>
      </c>
    </row>
    <row r="8">
      <c r="A8" s="2" t="inlineStr">
        <is>
          <t>Doctor Commission %</t>
        </is>
      </c>
      <c r="B8" s="2" t="n">
        <v>0.1</v>
      </c>
      <c r="C8" s="2" t="inlineStr">
        <is>
          <t>10% referral</t>
        </is>
      </c>
    </row>
    <row r="9">
      <c r="A9" s="2" t="inlineStr">
        <is>
          <t>Verification cost per nurse</t>
        </is>
      </c>
      <c r="B9" s="2" t="n">
        <v>2000</v>
      </c>
      <c r="C9" s="2" t="inlineStr">
        <is>
          <t>Rs2k x 15 = Rs30k</t>
        </is>
      </c>
    </row>
    <row r="10">
      <c r="A10" s="2" t="inlineStr">
        <is>
          <t>SHCC License Fee</t>
        </is>
      </c>
      <c r="B10" s="2" t="n">
        <v>25000</v>
      </c>
      <c r="C10" s="2" t="inlineStr">
        <is>
          <t>Sindh Healthcare Commission Sec14(1)</t>
        </is>
      </c>
    </row>
    <row r="11">
      <c r="A11" s="2" t="inlineStr">
        <is>
          <t>Bike Fuel + Hub per month</t>
        </is>
      </c>
      <c r="B11" s="2" t="n">
        <v>10000</v>
      </c>
      <c r="C11" s="2" t="inlineStr"/>
    </row>
    <row r="12">
      <c r="A12" s="2" t="inlineStr">
        <is>
          <t>Marketing per month</t>
        </is>
      </c>
      <c r="B12" s="2" t="n">
        <v>10000</v>
      </c>
      <c r="C12" s="2" t="inlineStr"/>
    </row>
    <row r="13">
      <c r="A13" s="2" t="inlineStr">
        <is>
          <t>Equipment deposit per item</t>
        </is>
      </c>
      <c r="B13" s="2" t="n">
        <v>7500</v>
      </c>
      <c r="C13" s="2" t="inlineStr">
        <is>
          <t>Refundable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Particulars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  <c r="H1" s="1" t="inlineStr">
        <is>
          <t>Total</t>
        </is>
      </c>
    </row>
    <row r="2">
      <c r="A2" s="2" t="inlineStr">
        <is>
          <t>Revenue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Home Care Shifts – Rs4,500 x 15 days</t>
        </is>
      </c>
      <c r="B3" s="3" t="n">
        <v>0</v>
      </c>
      <c r="C3" s="3" t="n">
        <v>0</v>
      </c>
      <c r="D3" s="3" t="n">
        <v>0</v>
      </c>
      <c r="E3" s="3" t="n">
        <v>337500</v>
      </c>
      <c r="F3" s="3" t="n">
        <v>0</v>
      </c>
      <c r="G3" s="3" t="n">
        <v>0</v>
      </c>
      <c r="H3" s="2">
        <f>SUM(B3:G3)</f>
        <v/>
      </c>
    </row>
    <row r="4">
      <c r="A4" s="2" t="inlineStr">
        <is>
          <t>Equipment Rental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15000</v>
      </c>
      <c r="H4" s="2">
        <f>SUM(B4:G4)</f>
        <v/>
      </c>
    </row>
    <row r="5">
      <c r="A5" s="2" t="inlineStr">
        <is>
          <t>Total Revenue</t>
        </is>
      </c>
      <c r="B5" s="2">
        <f>SUM(B3:B4)</f>
        <v/>
      </c>
      <c r="C5" s="2">
        <f>SUM(C3:C4)</f>
        <v/>
      </c>
      <c r="D5" s="2">
        <f>SUM(D3:D4)</f>
        <v/>
      </c>
      <c r="E5" s="2">
        <f>SUM(E3:E4)</f>
        <v/>
      </c>
      <c r="F5" s="2">
        <f>SUM(F3:F4)</f>
        <v/>
      </c>
      <c r="G5" s="2">
        <f>SUM(G3:G4)</f>
        <v/>
      </c>
      <c r="H5" s="2">
        <f>SUM(B5:G5)</f>
        <v/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Cost of Services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Nurse Payments – 70%</t>
        </is>
      </c>
      <c r="B8" s="2">
        <f>B3*0.7</f>
        <v/>
      </c>
      <c r="C8" s="2">
        <f>C3*0.7</f>
        <v/>
      </c>
      <c r="D8" s="2">
        <f>D3*0.7</f>
        <v/>
      </c>
      <c r="E8" s="2">
        <f>E3*0.7</f>
        <v/>
      </c>
      <c r="F8" s="2">
        <f>F3*0.7</f>
        <v/>
      </c>
      <c r="G8" s="2">
        <f>G3*0.7</f>
        <v/>
      </c>
      <c r="H8" s="2">
        <f>SUM(B8:G8)</f>
        <v/>
      </c>
    </row>
    <row r="9">
      <c r="A9" s="2" t="inlineStr">
        <is>
          <t>Doctor Commission – 10%</t>
        </is>
      </c>
      <c r="B9" s="2">
        <f>B3*0.1</f>
        <v/>
      </c>
      <c r="C9" s="2">
        <f>C3*0.1</f>
        <v/>
      </c>
      <c r="D9" s="2">
        <f>D3*0.1</f>
        <v/>
      </c>
      <c r="E9" s="2">
        <f>E3*0.1</f>
        <v/>
      </c>
      <c r="F9" s="2">
        <f>F3*0.1</f>
        <v/>
      </c>
      <c r="G9" s="2">
        <f>G3*0.1</f>
        <v/>
      </c>
      <c r="H9" s="2">
        <f>SUM(B9:G9)</f>
        <v/>
      </c>
    </row>
    <row r="10">
      <c r="A10" s="2" t="inlineStr">
        <is>
          <t>Equipment Maintenance</t>
        </is>
      </c>
      <c r="B10" s="3" t="n">
        <v>0</v>
      </c>
      <c r="C10" s="3" t="n">
        <v>0</v>
      </c>
      <c r="D10" s="3" t="n">
        <v>0</v>
      </c>
      <c r="E10" s="3" t="n">
        <v>2000</v>
      </c>
      <c r="F10" s="3" t="n">
        <v>0</v>
      </c>
      <c r="G10" s="3" t="n">
        <v>1000</v>
      </c>
      <c r="H10" s="2">
        <f>SUM(B10:G10)</f>
        <v/>
      </c>
    </row>
    <row r="11">
      <c r="A11" s="2" t="inlineStr">
        <is>
          <t>Total Cost of Services</t>
        </is>
      </c>
      <c r="B11" s="2">
        <f>SUM(B8:B10)</f>
        <v/>
      </c>
      <c r="C11" s="2">
        <f>SUM(C8:C10)</f>
        <v/>
      </c>
      <c r="D11" s="2">
        <f>SUM(D8:D10)</f>
        <v/>
      </c>
      <c r="E11" s="2">
        <f>SUM(E8:E10)</f>
        <v/>
      </c>
      <c r="F11" s="2">
        <f>SUM(F8:F10)</f>
        <v/>
      </c>
      <c r="G11" s="2">
        <f>SUM(G8:G10)</f>
        <v/>
      </c>
      <c r="H11" s="2">
        <f>SUM(B11:G11)</f>
        <v/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Gross Profit</t>
        </is>
      </c>
      <c r="B13" s="2">
        <f>B5-B11</f>
        <v/>
      </c>
      <c r="C13" s="2">
        <f>C5-C11</f>
        <v/>
      </c>
      <c r="D13" s="2">
        <f>D5-D11</f>
        <v/>
      </c>
      <c r="E13" s="2">
        <f>E5-E11</f>
        <v/>
      </c>
      <c r="F13" s="2">
        <f>F5-F11</f>
        <v/>
      </c>
      <c r="G13" s="2">
        <f>G5-G11</f>
        <v/>
      </c>
      <c r="H13" s="2">
        <f>H5-H11</f>
        <v/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Operating Expenses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Verification</t>
        </is>
      </c>
      <c r="B16" s="3" t="n">
        <v>15000</v>
      </c>
      <c r="C16" s="3" t="n">
        <v>15000</v>
      </c>
      <c r="D16" s="3" t="n">
        <v>0</v>
      </c>
      <c r="E16" s="3" t="n">
        <v>0</v>
      </c>
      <c r="F16" s="3" t="n">
        <v>0</v>
      </c>
      <c r="G16" s="3" t="n">
        <v>0</v>
      </c>
      <c r="H16" s="2">
        <f>SUM(B16:G16)</f>
        <v/>
      </c>
    </row>
    <row r="17">
      <c r="A17" s="2" t="inlineStr">
        <is>
          <t>SHCC License</t>
        </is>
      </c>
      <c r="B17" s="3" t="n">
        <v>0</v>
      </c>
      <c r="C17" s="3" t="n">
        <v>25000</v>
      </c>
      <c r="D17" s="3" t="n">
        <v>0</v>
      </c>
      <c r="E17" s="3" t="n">
        <v>0</v>
      </c>
      <c r="F17" s="3" t="n">
        <v>0</v>
      </c>
      <c r="G17" s="3" t="n">
        <v>0</v>
      </c>
      <c r="H17" s="2">
        <f>SUM(B17:G17)</f>
        <v/>
      </c>
    </row>
    <row r="18">
      <c r="A18" s="2" t="inlineStr">
        <is>
          <t>Marketing</t>
        </is>
      </c>
      <c r="B18" s="3" t="n">
        <v>20000</v>
      </c>
      <c r="C18" s="3" t="n">
        <v>20000</v>
      </c>
      <c r="D18" s="3" t="n">
        <v>10000</v>
      </c>
      <c r="E18" s="3" t="n">
        <v>5000</v>
      </c>
      <c r="F18" s="3" t="n">
        <v>5000</v>
      </c>
      <c r="G18" s="3" t="n">
        <v>5000</v>
      </c>
      <c r="H18" s="2">
        <f>SUM(B18:G18)</f>
        <v/>
      </c>
    </row>
    <row r="19">
      <c r="A19" s="2" t="inlineStr">
        <is>
          <t>Bike Fuel + Hub</t>
        </is>
      </c>
      <c r="B19" s="3" t="n">
        <v>10000</v>
      </c>
      <c r="C19" s="3" t="n">
        <v>10000</v>
      </c>
      <c r="D19" s="3" t="n">
        <v>10000</v>
      </c>
      <c r="E19" s="3" t="n">
        <v>10000</v>
      </c>
      <c r="F19" s="3" t="n">
        <v>10000</v>
      </c>
      <c r="G19" s="3" t="n">
        <v>10000</v>
      </c>
      <c r="H19" s="2">
        <f>SUM(B19:G19)</f>
        <v/>
      </c>
    </row>
    <row r="20">
      <c r="A20" s="2" t="inlineStr">
        <is>
          <t>Depreciation + Office</t>
        </is>
      </c>
      <c r="B20" s="3" t="n">
        <v>11666</v>
      </c>
      <c r="C20" s="3" t="n">
        <v>11666</v>
      </c>
      <c r="D20" s="3" t="n">
        <v>11666</v>
      </c>
      <c r="E20" s="3" t="n">
        <v>11666</v>
      </c>
      <c r="F20" s="3" t="n">
        <v>11666</v>
      </c>
      <c r="G20" s="3" t="n">
        <v>11666</v>
      </c>
      <c r="H20" s="2">
        <f>SUM(B20:G20)</f>
        <v/>
      </c>
    </row>
    <row r="21">
      <c r="A21" s="2" t="inlineStr">
        <is>
          <t>Total Operating Expenses</t>
        </is>
      </c>
      <c r="B21" s="2">
        <f>SUM(B16:B20)</f>
        <v/>
      </c>
      <c r="C21" s="2">
        <f>SUM(C16:C20)</f>
        <v/>
      </c>
      <c r="D21" s="2">
        <f>SUM(D16:D20)</f>
        <v/>
      </c>
      <c r="E21" s="2">
        <f>SUM(E16:E20)</f>
        <v/>
      </c>
      <c r="F21" s="2">
        <f>SUM(F16:F20)</f>
        <v/>
      </c>
      <c r="G21" s="2">
        <f>SUM(G16:G20)</f>
        <v/>
      </c>
      <c r="H21" s="2">
        <f>SUM(B21:G21)</f>
        <v/>
      </c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Net Profit / (Loss)</t>
        </is>
      </c>
      <c r="B23" s="2">
        <f>B13-B21</f>
        <v/>
      </c>
      <c r="C23" s="2">
        <f>C13-C21</f>
        <v/>
      </c>
      <c r="D23" s="2">
        <f>D13-D21</f>
        <v/>
      </c>
      <c r="E23" s="2">
        <f>E13-E21</f>
        <v/>
      </c>
      <c r="F23" s="2">
        <f>F13-F21</f>
        <v/>
      </c>
      <c r="G23" s="2">
        <f>G13-G21</f>
        <v/>
      </c>
      <c r="H23" s="2">
        <f>H13-H21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Particulars</t>
        </is>
      </c>
      <c r="B1" s="1" t="inlineStr">
        <is>
          <t>Day 0</t>
        </is>
      </c>
      <c r="C1" s="1" t="inlineStr">
        <is>
          <t>M6 Projected</t>
        </is>
      </c>
    </row>
    <row r="2">
      <c r="A2" s="2" t="inlineStr">
        <is>
          <t>ASSETS</t>
        </is>
      </c>
      <c r="B2" s="2" t="inlineStr"/>
      <c r="C2" s="2" t="inlineStr"/>
    </row>
    <row r="3">
      <c r="A3" s="2" t="inlineStr">
        <is>
          <t>Cash and Bank (HBL + JazzCash)</t>
        </is>
      </c>
      <c r="B3" s="3" t="n">
        <v>350000</v>
      </c>
      <c r="C3" s="3" t="n">
        <v>520000</v>
      </c>
    </row>
    <row r="4">
      <c r="A4" s="2" t="inlineStr">
        <is>
          <t>Medical Equipment for Rental</t>
        </is>
      </c>
      <c r="B4" s="3" t="n">
        <v>80000</v>
      </c>
      <c r="C4" s="3" t="n">
        <v>120000</v>
      </c>
    </row>
    <row r="5">
      <c r="A5" s="2" t="inlineStr">
        <is>
          <t>Prepaid – SHCC + Insurance</t>
        </is>
      </c>
      <c r="B5" s="3" t="n">
        <v>0</v>
      </c>
      <c r="C5" s="3" t="n">
        <v>15000</v>
      </c>
    </row>
    <row r="6">
      <c r="A6" s="2" t="inlineStr">
        <is>
          <t>Security Deposits – Bike Hub</t>
        </is>
      </c>
      <c r="B6" s="3" t="n">
        <v>0</v>
      </c>
      <c r="C6" s="3" t="n">
        <v>20000</v>
      </c>
    </row>
    <row r="7">
      <c r="A7" s="2" t="inlineStr">
        <is>
          <t>Total Current Assets</t>
        </is>
      </c>
      <c r="B7" s="2">
        <f>SUM(B3:B6)</f>
        <v/>
      </c>
      <c r="C7" s="2">
        <f>SUM(C3:C6)</f>
        <v/>
      </c>
    </row>
    <row r="8">
      <c r="A8" s="2" t="inlineStr">
        <is>
          <t>Laptop + Mobile (less dep)</t>
        </is>
      </c>
      <c r="B8" s="3" t="n">
        <v>70000</v>
      </c>
      <c r="C8" s="3" t="n">
        <v>60000</v>
      </c>
    </row>
    <row r="9">
      <c r="A9" s="2" t="inlineStr">
        <is>
          <t>Total Non-Current</t>
        </is>
      </c>
      <c r="B9" s="2">
        <f>B8</f>
        <v/>
      </c>
      <c r="C9" s="2">
        <f>C8</f>
        <v/>
      </c>
    </row>
    <row r="10">
      <c r="A10" s="2" t="inlineStr">
        <is>
          <t>TOTAL ASSETS</t>
        </is>
      </c>
      <c r="B10" s="2">
        <f>B7+B9</f>
        <v/>
      </c>
      <c r="C10" s="2">
        <f>C7+C9</f>
        <v/>
      </c>
    </row>
    <row r="11">
      <c r="A11" s="2" t="inlineStr">
        <is>
          <t>LIABILITIES</t>
        </is>
      </c>
      <c r="B11" s="2" t="inlineStr"/>
      <c r="C11" s="2" t="inlineStr"/>
    </row>
    <row r="12">
      <c r="A12" s="2" t="inlineStr">
        <is>
          <t>Accounts Payable – Nurses</t>
        </is>
      </c>
      <c r="B12" s="3" t="n">
        <v>0</v>
      </c>
      <c r="C12" s="3" t="n">
        <v>45000</v>
      </c>
    </row>
    <row r="13">
      <c r="A13" s="2" t="inlineStr">
        <is>
          <t>Unearned Revenue – 3 families x 67,500</t>
        </is>
      </c>
      <c r="B13" s="3" t="n">
        <v>0</v>
      </c>
      <c r="C13" s="3" t="n">
        <v>202500</v>
      </c>
    </row>
    <row r="14">
      <c r="A14" s="2" t="inlineStr">
        <is>
          <t>Commission Payable – Doctors</t>
        </is>
      </c>
      <c r="B14" s="3" t="n">
        <v>0</v>
      </c>
      <c r="C14" s="3" t="n">
        <v>20000</v>
      </c>
    </row>
    <row r="15">
      <c r="A15" s="2" t="inlineStr">
        <is>
          <t>Equipment Deposit Payable</t>
        </is>
      </c>
      <c r="B15" s="3" t="n">
        <v>0</v>
      </c>
      <c r="C15" s="3" t="n">
        <v>75000</v>
      </c>
    </row>
    <row r="16">
      <c r="A16" s="2" t="inlineStr">
        <is>
          <t>Total Current Liabilities</t>
        </is>
      </c>
      <c r="B16" s="2">
        <f>SUM(B12:B15)</f>
        <v/>
      </c>
      <c r="C16" s="2">
        <f>SUM(C12:C15)</f>
        <v/>
      </c>
    </row>
    <row r="17">
      <c r="A17" s="2" t="inlineStr">
        <is>
          <t>Loans</t>
        </is>
      </c>
      <c r="B17" s="3" t="n">
        <v>0</v>
      </c>
      <c r="C17" s="3" t="n">
        <v>0</v>
      </c>
    </row>
    <row r="18">
      <c r="A18" s="2" t="inlineStr">
        <is>
          <t>Total Liabilities</t>
        </is>
      </c>
      <c r="B18" s="2">
        <f>B16</f>
        <v/>
      </c>
      <c r="C18" s="2">
        <f>C16</f>
        <v/>
      </c>
    </row>
    <row r="19">
      <c r="A19" s="2" t="inlineStr">
        <is>
          <t>EQUITY</t>
        </is>
      </c>
      <c r="B19" s="2" t="inlineStr"/>
      <c r="C19" s="2" t="inlineStr"/>
    </row>
    <row r="20">
      <c r="A20" s="2" t="inlineStr">
        <is>
          <t>Owner's Capital – Theo</t>
        </is>
      </c>
      <c r="B20" s="3" t="n">
        <v>500000</v>
      </c>
      <c r="C20" s="3" t="n">
        <v>500000</v>
      </c>
    </row>
    <row r="21">
      <c r="A21" s="2" t="inlineStr">
        <is>
          <t>Retained Earnings</t>
        </is>
      </c>
      <c r="B21" s="3" t="n">
        <v>0</v>
      </c>
      <c r="C21" s="2">
        <f>'P&amp;L M1-M6'!H23</f>
        <v/>
      </c>
    </row>
    <row r="22">
      <c r="A22" s="2" t="inlineStr">
        <is>
          <t>Total Equity</t>
        </is>
      </c>
      <c r="B22" s="2">
        <f>B20+B21</f>
        <v/>
      </c>
      <c r="C22" s="2">
        <f>C20+C21</f>
        <v/>
      </c>
    </row>
    <row r="23">
      <c r="A23" s="2" t="inlineStr">
        <is>
          <t>TOTAL LIABILITIES + EQUITY</t>
        </is>
      </c>
      <c r="B23" s="2">
        <f>B18+B22</f>
        <v/>
      </c>
      <c r="C23" s="2">
        <f>C18+C22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8" customWidth="1" min="3" max="3"/>
  </cols>
  <sheetData>
    <row r="1">
      <c r="A1" s="1" t="inlineStr">
        <is>
          <t>Particulars</t>
        </is>
      </c>
      <c r="B1" s="1" t="inlineStr">
        <is>
          <t>Amount</t>
        </is>
      </c>
      <c r="C1" s="1" t="inlineStr">
        <is>
          <t>Notes</t>
        </is>
      </c>
    </row>
    <row r="2">
      <c r="A2" s="2" t="inlineStr">
        <is>
          <t>Operating</t>
        </is>
      </c>
      <c r="B2" s="2" t="inlineStr"/>
      <c r="C2" s="2" t="inlineStr"/>
    </row>
    <row r="3">
      <c r="A3" s="2" t="inlineStr">
        <is>
          <t>Cash In – Advance from Families (5 x 67,500)</t>
        </is>
      </c>
      <c r="B3" s="3" t="n">
        <v>337500</v>
      </c>
      <c r="C3" s="2" t="inlineStr">
        <is>
          <t>M4</t>
        </is>
      </c>
    </row>
    <row r="4">
      <c r="A4" s="2" t="inlineStr">
        <is>
          <t>Cash In – Equipment Deposits (10 x 7,500)</t>
        </is>
      </c>
      <c r="B4" s="3" t="n">
        <v>75000</v>
      </c>
      <c r="C4" s="2" t="inlineStr">
        <is>
          <t>Refundable</t>
        </is>
      </c>
    </row>
    <row r="5">
      <c r="A5" s="2" t="inlineStr">
        <is>
          <t>Cash Out – Nurses Paid</t>
        </is>
      </c>
      <c r="B5" s="3" t="n">
        <v>-191250</v>
      </c>
      <c r="C5" s="2" t="inlineStr">
        <is>
          <t>236,250 - 45k payable</t>
        </is>
      </c>
    </row>
    <row r="6">
      <c r="A6" s="2" t="inlineStr">
        <is>
          <t>Cash Out – Doctors Commission</t>
        </is>
      </c>
      <c r="B6" s="3" t="n">
        <v>-13750</v>
      </c>
      <c r="C6" s="2" t="inlineStr"/>
    </row>
    <row r="7">
      <c r="A7" s="2" t="inlineStr">
        <is>
          <t>Cash Out – Verification</t>
        </is>
      </c>
      <c r="B7" s="3" t="n">
        <v>-30000</v>
      </c>
      <c r="C7" s="2" t="inlineStr"/>
    </row>
    <row r="8">
      <c r="A8" s="2" t="inlineStr">
        <is>
          <t>Cash Out – SHCC License</t>
        </is>
      </c>
      <c r="B8" s="3" t="n">
        <v>-25000</v>
      </c>
      <c r="C8" s="2" t="inlineStr"/>
    </row>
    <row r="9">
      <c r="A9" s="2" t="inlineStr">
        <is>
          <t>Cash Out – Marketing</t>
        </is>
      </c>
      <c r="B9" s="3" t="n">
        <v>-60000</v>
      </c>
      <c r="C9" s="2" t="inlineStr"/>
    </row>
    <row r="10">
      <c r="A10" s="2" t="inlineStr">
        <is>
          <t>Cash Out – Bike Fuel + Hub</t>
        </is>
      </c>
      <c r="B10" s="3" t="n">
        <v>-60000</v>
      </c>
      <c r="C10" s="2" t="inlineStr"/>
    </row>
    <row r="11">
      <c r="A11" s="2" t="inlineStr">
        <is>
          <t>Cash Out – Office &amp; Misc</t>
        </is>
      </c>
      <c r="B11" s="3" t="n">
        <v>-60000</v>
      </c>
      <c r="C11" s="2" t="inlineStr"/>
    </row>
    <row r="12">
      <c r="A12" s="2" t="inlineStr">
        <is>
          <t>Net Cash from Operating</t>
        </is>
      </c>
      <c r="B12" s="2">
        <f>SUM(B3:B11)</f>
        <v/>
      </c>
      <c r="C12" s="2" t="inlineStr"/>
    </row>
    <row r="13">
      <c r="A13" s="2" t="inlineStr">
        <is>
          <t>Investing</t>
        </is>
      </c>
      <c r="B13" s="2" t="inlineStr"/>
      <c r="C13" s="2" t="inlineStr"/>
    </row>
    <row r="14">
      <c r="A14" s="2" t="inlineStr">
        <is>
          <t>Purchase – Equipment Additional</t>
        </is>
      </c>
      <c r="B14" s="3" t="n">
        <v>-40000</v>
      </c>
      <c r="C14" s="2" t="inlineStr"/>
    </row>
    <row r="15">
      <c r="A15" s="2" t="inlineStr">
        <is>
          <t>Purchase – Prepaid + Deposits</t>
        </is>
      </c>
      <c r="B15" s="3" t="n">
        <v>-35000</v>
      </c>
      <c r="C15" s="2" t="inlineStr"/>
    </row>
    <row r="16">
      <c r="A16" s="2" t="inlineStr">
        <is>
          <t>Net Cash from Investing</t>
        </is>
      </c>
      <c r="B16" s="2">
        <f>SUM(B14:B15)</f>
        <v/>
      </c>
      <c r="C16" s="2" t="inlineStr"/>
    </row>
    <row r="17">
      <c r="A17" s="2" t="inlineStr">
        <is>
          <t>Financing</t>
        </is>
      </c>
      <c r="B17" s="2" t="inlineStr"/>
      <c r="C17" s="2" t="inlineStr"/>
    </row>
    <row r="18">
      <c r="A18" s="2" t="inlineStr">
        <is>
          <t>Owner Capital Injection</t>
        </is>
      </c>
      <c r="B18" s="3" t="n">
        <v>500000</v>
      </c>
      <c r="C18" s="2" t="inlineStr">
        <is>
          <t>Day 0</t>
        </is>
      </c>
    </row>
    <row r="19">
      <c r="A19" s="2" t="inlineStr">
        <is>
          <t>Net Cash from Financing</t>
        </is>
      </c>
      <c r="B19" s="2">
        <f>B18</f>
        <v/>
      </c>
      <c r="C19" s="2" t="inlineStr"/>
    </row>
    <row r="20">
      <c r="A20" s="2" t="inlineStr">
        <is>
          <t>Net Change in Cash</t>
        </is>
      </c>
      <c r="B20" s="2">
        <f>B12+B16+B19</f>
        <v/>
      </c>
      <c r="C20" s="2" t="inlineStr"/>
    </row>
    <row r="21">
      <c r="A21" s="2" t="inlineStr">
        <is>
          <t>Cash at Beginning</t>
        </is>
      </c>
      <c r="B21" s="3" t="n">
        <v>0</v>
      </c>
      <c r="C21" s="2" t="inlineStr"/>
    </row>
    <row r="22">
      <c r="A22" s="2" t="inlineStr">
        <is>
          <t>Cash at End</t>
        </is>
      </c>
      <c r="B22" s="2">
        <f>B20+B21</f>
        <v/>
      </c>
      <c r="C22" s="2" t="inlineStr">
        <is>
          <t>Matches Balance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2026-10-21T06:40:30Z</dcterms:created>
  <dcterms:modified xmlns:dcterms="http://purl.org/dc/terms/" xmlns:xsi="http://www.w3.org/2001/XMLSchema-instance" xsi:type="dcterms:W3CDTF">2026-10-21T06:40:30Z</dcterms:modified>
</cp:coreProperties>
</file>